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uilherme\Desktop\6º Semestre\TCC\Modelos\"/>
    </mc:Choice>
  </mc:AlternateContent>
  <xr:revisionPtr revIDLastSave="0" documentId="13_ncr:1_{44EB473D-32DC-4F83-913F-36442DE81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s train" sheetId="2" r:id="rId1"/>
  </sheets>
  <definedNames>
    <definedName name="DadosExternos_1" localSheetId="0" hidden="1">'Models train'!$B$5:$D$13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8" i="2"/>
  <c r="E11" i="2"/>
  <c r="E9" i="2"/>
  <c r="E6" i="2"/>
  <c r="E7" i="2"/>
  <c r="E10" i="2"/>
  <c r="E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D89674-EC61-46A5-B6DB-91D49D70D702}" keepAlive="1" name="Consulta - resultados_densenet121_rgb_112x112" description="Conexão com a consulta 'resultados_densenet121_rgb_112x112' na pasta de trabalho." type="5" refreshedVersion="8" background="1" saveData="1">
    <dbPr connection="Provider=Microsoft.Mashup.OleDb.1;Data Source=$Workbook$;Location=resultados_densenet121_rgb_112x112;Extended Properties=&quot;&quot;" command="SELECT * FROM [resultados_densenet121_rgb_112x112]"/>
  </connection>
  <connection id="2" xr16:uid="{A0FDB88E-0ACF-430D-8828-7280B84DFCB8}" keepAlive="1" name="Consulta - resultados_efficientnetb2_rgb_112x112" description="Conexão com a consulta 'resultados_efficientnetb2_rgb_112x112' na pasta de trabalho." type="5" refreshedVersion="0" background="1">
    <dbPr connection="Provider=Microsoft.Mashup.OleDb.1;Data Source=$Workbook$;Location=resultados_efficientnetb2_rgb_112x112;Extended Properties=&quot;&quot;" command="SELECT * FROM [resultados_efficientnetb2_rgb_112x112]"/>
  </connection>
  <connection id="3" xr16:uid="{F1F19731-F3C0-432F-983D-344E2BA4AEE0}" keepAlive="1" name="Consulta - resultados_mobilenetv2_rgb_112x112" description="Conexão com a consulta 'resultados_mobilenetv2_rgb_112x112' na pasta de trabalho." type="5" refreshedVersion="0" background="1">
    <dbPr connection="Provider=Microsoft.Mashup.OleDb.1;Data Source=$Workbook$;Location=resultados_mobilenetv2_rgb_112x112;Extended Properties=&quot;&quot;" command="SELECT * FROM [resultados_mobilenetv2_rgb_112x112]"/>
  </connection>
  <connection id="4" xr16:uid="{FBE79C92-12DB-448D-85FA-F222438B6ACA}" keepAlive="1" name="Consulta - resultados_mobilenetv3large_rgb_112x112" description="Conexão com a consulta 'resultados_mobilenetv3large_rgb_112x112' na pasta de trabalho." type="5" refreshedVersion="0" background="1">
    <dbPr connection="Provider=Microsoft.Mashup.OleDb.1;Data Source=$Workbook$;Location=resultados_mobilenetv3large_rgb_112x112;Extended Properties=&quot;&quot;" command="SELECT * FROM [resultados_mobilenetv3large_rgb_112x112]"/>
  </connection>
  <connection id="5" xr16:uid="{25B4641B-17B7-4F45-B248-D470A03E9041}" keepAlive="1" name="Consulta - resultados_resnet50v2_rgb_112x112" description="Conexão com a consulta 'resultados_resnet50v2_rgb_112x112' na pasta de trabalho." type="5" refreshedVersion="0" background="1">
    <dbPr connection="Provider=Microsoft.Mashup.OleDb.1;Data Source=$Workbook$;Location=resultados_resnet50v2_rgb_112x112;Extended Properties=&quot;&quot;" command="SELECT * FROM [resultados_resnet50v2_rgb_112x112]"/>
  </connection>
</connections>
</file>

<file path=xl/sharedStrings.xml><?xml version="1.0" encoding="utf-8"?>
<sst xmlns="http://schemas.openxmlformats.org/spreadsheetml/2006/main" count="24" uniqueCount="17">
  <si>
    <t>DenseNet121</t>
  </si>
  <si>
    <t>IMG_SIZE</t>
  </si>
  <si>
    <t>BATCH_SIZE</t>
  </si>
  <si>
    <t>EPOCHS</t>
  </si>
  <si>
    <t>FOLDS</t>
  </si>
  <si>
    <t>112x112</t>
  </si>
  <si>
    <t>EfficientNetB2</t>
  </si>
  <si>
    <t>MobileNetV2</t>
  </si>
  <si>
    <t>MobileNetV3Large</t>
  </si>
  <si>
    <t>MODELO</t>
  </si>
  <si>
    <t>ResNet50V2</t>
  </si>
  <si>
    <t>ACURACIA_MEDIA</t>
  </si>
  <si>
    <t>TEMPO_MEDIO_SEG</t>
  </si>
  <si>
    <t>TEMPO_MEDIO_MIN</t>
  </si>
  <si>
    <t>MobileNetV3Small</t>
  </si>
  <si>
    <t>EfficientNetB3</t>
  </si>
  <si>
    <t>NASNetMobile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</si>
</sst>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</dxf>
    <dxf>
      <numFmt numFmtId="167" formatCode="0.0000000E+00"/>
      <alignment horizontal="center" vertical="bottom" textRotation="0" wrapText="0" indent="0" justifyLastLine="0" shrinkToFit="0" readingOrder="0"/>
    </dxf>
    <dxf>
      <numFmt numFmtId="168" formatCode="0.000000"/>
      <alignment horizontal="center" vertical="bottom" textRotation="0" wrapText="0" indent="0" justifyLastLine="0" shrinkToFit="0" readingOrder="0"/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C425D0D-B0DC-4782-ADC9-C97B716AFD4E}" autoFormatId="16" applyNumberFormats="0" applyBorderFormats="0" applyFontFormats="0" applyPatternFormats="0" applyAlignmentFormats="0" applyWidthHeightFormats="0">
  <queryTableRefresh nextId="11" unboundColumnsRight="5">
    <queryTableFields count="8">
      <queryTableField id="1" name="modelo" tableColumnId="1"/>
      <queryTableField id="2" name="acuracia_media" tableColumnId="2"/>
      <queryTableField id="3" name="tempo_medio_seg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C83B3-8117-452C-A6CF-356C7B17399F}" name="resultados_densenet121_rgb_112x112" displayName="resultados_densenet121_rgb_112x112" ref="B5:I13" tableType="queryTable" totalsRowShown="0" headerRowDxfId="9" headerRowBorderDxfId="8" tableBorderDxfId="7">
  <autoFilter ref="B5:I13" xr:uid="{C0DC83B3-8117-452C-A6CF-356C7B17399F}"/>
  <tableColumns count="8">
    <tableColumn id="1" xr3:uid="{FCB46C29-7F6C-4319-AB8A-95DEEA02859C}" uniqueName="1" name="MODELO" queryTableFieldId="1" dataDxfId="6"/>
    <tableColumn id="2" xr3:uid="{8E887528-A086-490D-9D4B-15569DFF4B2A}" uniqueName="2" name="ACURACIA_MEDIA" queryTableFieldId="2" dataDxfId="5"/>
    <tableColumn id="3" xr3:uid="{3D2A3F02-F2AE-436F-B89C-8D904D07B7F8}" uniqueName="3" name="TEMPO_MEDIO_SEG" queryTableFieldId="3" dataDxfId="4"/>
    <tableColumn id="4" xr3:uid="{62217953-4F4D-41B7-A369-647D58EF47B8}" uniqueName="4" name="TEMPO_MEDIO_MIN" queryTableFieldId="4" dataDxfId="3">
      <calculatedColumnFormula>resultados_densenet121_rgb_112x112[[#This Row],[TEMPO_MEDIO_SEG]]/60</calculatedColumnFormula>
    </tableColumn>
    <tableColumn id="5" xr3:uid="{FBB4C1B0-1CD7-4121-9B3E-71CA7B77D628}" uniqueName="5" name="BATCH_SIZE" queryTableFieldId="5" dataDxfId="2"/>
    <tableColumn id="6" xr3:uid="{96CA0FF7-6B09-4188-B9C1-4229EC2CB96B}" uniqueName="6" name="EPOCHS" queryTableFieldId="6" dataDxfId="1"/>
    <tableColumn id="7" xr3:uid="{69209766-FA36-4E8E-8020-FA2458811109}" uniqueName="7" name="IMG_SIZE" queryTableFieldId="7"/>
    <tableColumn id="8" xr3:uid="{4E68C442-5B08-4E56-A515-1B74BCF21966}" uniqueName="8" name="FOLD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856E-9A11-498F-B8F6-C52D2F46793A}">
  <dimension ref="B4:I18"/>
  <sheetViews>
    <sheetView showGridLines="0" tabSelected="1" workbookViewId="0">
      <selection activeCell="C10" sqref="C10"/>
    </sheetView>
  </sheetViews>
  <sheetFormatPr defaultRowHeight="15" x14ac:dyDescent="0.25"/>
  <cols>
    <col min="1" max="1" width="19.5703125" customWidth="1"/>
    <col min="2" max="2" width="25.7109375" customWidth="1"/>
    <col min="3" max="4" width="24.7109375" customWidth="1"/>
    <col min="5" max="5" width="26.7109375" customWidth="1"/>
    <col min="6" max="9" width="18.7109375" customWidth="1"/>
    <col min="11" max="11" width="50.5703125" bestFit="1" customWidth="1"/>
    <col min="13" max="13" width="23.5703125" customWidth="1"/>
  </cols>
  <sheetData>
    <row r="4" spans="2:9" ht="15.75" thickBot="1" x14ac:dyDescent="0.3"/>
    <row r="5" spans="2:9" ht="15.75" thickBot="1" x14ac:dyDescent="0.3">
      <c r="B5" s="2" t="s">
        <v>9</v>
      </c>
      <c r="C5" s="3" t="s">
        <v>11</v>
      </c>
      <c r="D5" s="3" t="s">
        <v>12</v>
      </c>
      <c r="E5" s="3" t="s">
        <v>13</v>
      </c>
      <c r="F5" s="3" t="s">
        <v>2</v>
      </c>
      <c r="G5" s="3" t="s">
        <v>3</v>
      </c>
      <c r="H5" s="3" t="s">
        <v>1</v>
      </c>
      <c r="I5" s="4" t="s">
        <v>4</v>
      </c>
    </row>
    <row r="6" spans="2:9" x14ac:dyDescent="0.25">
      <c r="B6" t="s">
        <v>0</v>
      </c>
      <c r="C6" s="6">
        <v>0.92069971561431796</v>
      </c>
      <c r="D6" s="6">
        <v>437.23883600234899</v>
      </c>
      <c r="E6" s="7">
        <f>resultados_densenet121_rgb_112x112[[#This Row],[TEMPO_MEDIO_SEG]]/60</f>
        <v>7.2873139333724835</v>
      </c>
      <c r="F6" s="1">
        <v>32</v>
      </c>
      <c r="G6" s="1">
        <v>25</v>
      </c>
      <c r="H6" s="1" t="s">
        <v>5</v>
      </c>
      <c r="I6" s="1">
        <v>5</v>
      </c>
    </row>
    <row r="7" spans="2:9" x14ac:dyDescent="0.25">
      <c r="B7" t="s">
        <v>6</v>
      </c>
      <c r="C7" s="6">
        <v>0.87781018018722501</v>
      </c>
      <c r="D7" s="6">
        <v>385.79237051010102</v>
      </c>
      <c r="E7" s="7">
        <f>resultados_densenet121_rgb_112x112[[#This Row],[TEMPO_MEDIO_SEG]]/60</f>
        <v>6.4298728418350173</v>
      </c>
      <c r="F7" s="1">
        <v>32</v>
      </c>
      <c r="G7" s="1">
        <v>25</v>
      </c>
      <c r="H7" s="1" t="s">
        <v>5</v>
      </c>
      <c r="I7" s="1">
        <v>5</v>
      </c>
    </row>
    <row r="8" spans="2:9" x14ac:dyDescent="0.25">
      <c r="B8" t="s">
        <v>15</v>
      </c>
      <c r="C8" s="6">
        <v>0.85131196975708001</v>
      </c>
      <c r="D8" s="1">
        <v>433.654032564163</v>
      </c>
      <c r="E8" s="7">
        <f>resultados_densenet121_rgb_112x112[[#This Row],[TEMPO_MEDIO_SEG]]/60</f>
        <v>7.227567209402717</v>
      </c>
      <c r="F8" s="1">
        <v>32</v>
      </c>
      <c r="G8" s="1">
        <v>25</v>
      </c>
      <c r="H8" s="1" t="s">
        <v>5</v>
      </c>
      <c r="I8" s="1">
        <v>5</v>
      </c>
    </row>
    <row r="9" spans="2:9" x14ac:dyDescent="0.25">
      <c r="B9" t="s">
        <v>7</v>
      </c>
      <c r="C9" s="6">
        <v>0.89368318319320605</v>
      </c>
      <c r="D9" s="1">
        <v>135.98508234024001</v>
      </c>
      <c r="E9" s="7">
        <f>resultados_densenet121_rgb_112x112[[#This Row],[TEMPO_MEDIO_SEG]]/60</f>
        <v>2.2664180390040003</v>
      </c>
      <c r="F9" s="1">
        <v>32</v>
      </c>
      <c r="G9" s="1">
        <v>25</v>
      </c>
      <c r="H9" s="1" t="s">
        <v>5</v>
      </c>
      <c r="I9" s="1">
        <v>5</v>
      </c>
    </row>
    <row r="10" spans="2:9" x14ac:dyDescent="0.25">
      <c r="B10" t="s">
        <v>8</v>
      </c>
      <c r="C10" s="6">
        <v>0.92309684753417898</v>
      </c>
      <c r="D10" s="1">
        <v>111.93711452484099</v>
      </c>
      <c r="E10" s="7">
        <f>resultados_densenet121_rgb_112x112[[#This Row],[TEMPO_MEDIO_SEG]]/60</f>
        <v>1.8656185754140167</v>
      </c>
      <c r="F10" s="1">
        <v>32</v>
      </c>
      <c r="G10" s="1">
        <v>25</v>
      </c>
      <c r="H10" s="1" t="s">
        <v>5</v>
      </c>
      <c r="I10" s="1">
        <v>5</v>
      </c>
    </row>
    <row r="11" spans="2:9" x14ac:dyDescent="0.25">
      <c r="B11" t="s">
        <v>14</v>
      </c>
      <c r="C11" s="6">
        <v>0.904826700687408</v>
      </c>
      <c r="D11" s="1">
        <v>97.060686016082698</v>
      </c>
      <c r="E11" s="7">
        <f>resultados_densenet121_rgb_112x112[[#This Row],[TEMPO_MEDIO_SEG]]/60</f>
        <v>1.6176781002680449</v>
      </c>
      <c r="F11" s="1">
        <v>32</v>
      </c>
      <c r="G11" s="1">
        <v>25</v>
      </c>
      <c r="H11" s="1" t="s">
        <v>5</v>
      </c>
      <c r="I11" s="1">
        <v>5</v>
      </c>
    </row>
    <row r="12" spans="2:9" x14ac:dyDescent="0.25">
      <c r="B12" t="s">
        <v>16</v>
      </c>
      <c r="C12" s="6">
        <v>0.84094589948654097</v>
      </c>
      <c r="D12" s="1">
        <v>222.472487258911</v>
      </c>
      <c r="E12" s="7">
        <f>resultados_densenet121_rgb_112x112[[#This Row],[TEMPO_MEDIO_SEG]]/60</f>
        <v>3.7078747876485165</v>
      </c>
      <c r="F12" s="1">
        <v>32</v>
      </c>
      <c r="G12" s="1">
        <v>25</v>
      </c>
      <c r="H12" s="1" t="s">
        <v>5</v>
      </c>
      <c r="I12" s="1">
        <v>5</v>
      </c>
    </row>
    <row r="13" spans="2:9" x14ac:dyDescent="0.25">
      <c r="B13" t="s">
        <v>10</v>
      </c>
      <c r="C13" s="6">
        <v>0.86271460056304905</v>
      </c>
      <c r="D13" s="6">
        <v>202.75432996749799</v>
      </c>
      <c r="E13" s="7">
        <f>resultados_densenet121_rgb_112x112[[#This Row],[TEMPO_MEDIO_SEG]]/60</f>
        <v>3.3792388327916334</v>
      </c>
      <c r="F13" s="1">
        <v>32</v>
      </c>
      <c r="G13" s="1">
        <v>25</v>
      </c>
      <c r="H13" s="1" t="s">
        <v>5</v>
      </c>
      <c r="I13" s="1">
        <v>5</v>
      </c>
    </row>
    <row r="14" spans="2:9" x14ac:dyDescent="0.25">
      <c r="C14" s="5"/>
      <c r="D14" s="5"/>
    </row>
    <row r="15" spans="2:9" x14ac:dyDescent="0.25">
      <c r="C15" s="5"/>
      <c r="D15" s="5"/>
    </row>
    <row r="16" spans="2:9" x14ac:dyDescent="0.25">
      <c r="C16" s="5"/>
      <c r="D16" s="5"/>
    </row>
    <row r="17" spans="3:4" x14ac:dyDescent="0.25">
      <c r="C17" s="5"/>
      <c r="D17" s="5"/>
    </row>
    <row r="18" spans="3:4" x14ac:dyDescent="0.25">
      <c r="C18" s="5"/>
      <c r="D18" s="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2DC6CB-5B88-4ECD-BDE1-A1E2D85409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Models 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</dc:creator>
  <cp:lastModifiedBy>Guilherme Dias</cp:lastModifiedBy>
  <dcterms:created xsi:type="dcterms:W3CDTF">2015-06-05T18:19:34Z</dcterms:created>
  <dcterms:modified xsi:type="dcterms:W3CDTF">2026-09-06T21:43:05Z</dcterms:modified>
</cp:coreProperties>
</file>