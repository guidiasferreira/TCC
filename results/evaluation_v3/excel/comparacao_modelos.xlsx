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Guilherme\Desktop\6º Semestre\TCC\results\evaluation_v3\excel\"/>
    </mc:Choice>
  </mc:AlternateContent>
  <xr:revisionPtr revIDLastSave="0" documentId="13_ncr:1_{B660EF42-80DC-4E5A-AF7F-24401F75F31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mparação de Modelos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" l="1"/>
  <c r="I5" i="1"/>
  <c r="I6" i="1"/>
  <c r="I7" i="1"/>
  <c r="I8" i="1"/>
  <c r="I9" i="1"/>
  <c r="H4" i="1"/>
  <c r="H5" i="1"/>
  <c r="H6" i="1"/>
  <c r="H7" i="1"/>
  <c r="H8" i="1"/>
  <c r="H9" i="1"/>
  <c r="G4" i="1"/>
  <c r="G5" i="1"/>
  <c r="G6" i="1"/>
  <c r="G7" i="1"/>
  <c r="G8" i="1"/>
  <c r="G9" i="1"/>
  <c r="F4" i="1"/>
  <c r="F5" i="1"/>
  <c r="F6" i="1"/>
  <c r="F7" i="1"/>
  <c r="F8" i="1"/>
  <c r="F9" i="1"/>
  <c r="E4" i="1"/>
  <c r="E5" i="1"/>
  <c r="E6" i="1"/>
  <c r="E7" i="1"/>
  <c r="E8" i="1"/>
  <c r="E9" i="1"/>
  <c r="D4" i="1"/>
  <c r="D5" i="1"/>
  <c r="D6" i="1"/>
  <c r="D7" i="1"/>
  <c r="D8" i="1"/>
  <c r="D9" i="1"/>
  <c r="C4" i="1"/>
  <c r="C5" i="1"/>
  <c r="C6" i="1"/>
  <c r="C7" i="1"/>
  <c r="C8" i="1"/>
  <c r="C9" i="1"/>
</calcChain>
</file>

<file path=xl/sharedStrings.xml><?xml version="1.0" encoding="utf-8"?>
<sst xmlns="http://schemas.openxmlformats.org/spreadsheetml/2006/main" count="7" uniqueCount="7">
  <si>
    <t>Model</t>
  </si>
  <si>
    <t>Accuracy</t>
  </si>
  <si>
    <t>Accuracy (mean ± std)</t>
  </si>
  <si>
    <t>Precision (Macro Avg)</t>
  </si>
  <si>
    <t>Recall (Macro Avg)</t>
  </si>
  <si>
    <t>F1-Score (Macro Avg)</t>
  </si>
  <si>
    <t>F1-Score (mean ± std)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</si>
</sst>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3" x14ac:knownFonts="1">
    <font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65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0.0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pt-BR" sz="1600" b="1"/>
              <a:t>Comparação de Modelos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de Modelos'!$D$3</c:f>
              <c:strCache>
                <c:ptCount val="1"/>
                <c:pt idx="0">
                  <c:v>Accuracy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'Comparação de Modelos'!$C$4:$C$9</c:f>
              <c:strCache>
                <c:ptCount val="6"/>
                <c:pt idx="0">
                  <c:v>MobileNetV3Large</c:v>
                </c:pt>
                <c:pt idx="1">
                  <c:v>MobileNetV3Small</c:v>
                </c:pt>
                <c:pt idx="2">
                  <c:v>EfficientNetV2B3</c:v>
                </c:pt>
                <c:pt idx="3">
                  <c:v>DenseNet121</c:v>
                </c:pt>
                <c:pt idx="4">
                  <c:v>EfficientNetV2B0</c:v>
                </c:pt>
                <c:pt idx="5">
                  <c:v>ResNet50V2</c:v>
                </c:pt>
              </c:strCache>
            </c:strRef>
          </c:cat>
          <c:val>
            <c:numRef>
              <c:f>'Comparação de Modelos'!$D$4:$D$9</c:f>
              <c:numCache>
                <c:formatCode>0.0000</c:formatCode>
                <c:ptCount val="6"/>
                <c:pt idx="0">
                  <c:v>0.97984581497797352</c:v>
                </c:pt>
                <c:pt idx="1">
                  <c:v>0.97797356828193838</c:v>
                </c:pt>
                <c:pt idx="2">
                  <c:v>0.98573788546255492</c:v>
                </c:pt>
                <c:pt idx="3">
                  <c:v>0.97604625550660806</c:v>
                </c:pt>
                <c:pt idx="4">
                  <c:v>0.98579295154185009</c:v>
                </c:pt>
                <c:pt idx="5">
                  <c:v>0.95280837004405294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20-4DE7-A8AF-13F807F9531D}"/>
            </c:ext>
          </c:extLst>
        </c:ser>
        <c:ser>
          <c:idx val="1"/>
          <c:order val="1"/>
          <c:tx>
            <c:strRef>
              <c:f>'Comparação de Modelos'!$E$3</c:f>
              <c:strCache>
                <c:ptCount val="1"/>
                <c:pt idx="0">
                  <c:v>Precision (Macro Avg)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'Comparação de Modelos'!$C$4:$C$9</c:f>
              <c:strCache>
                <c:ptCount val="6"/>
                <c:pt idx="0">
                  <c:v>MobileNetV3Large</c:v>
                </c:pt>
                <c:pt idx="1">
                  <c:v>MobileNetV3Small</c:v>
                </c:pt>
                <c:pt idx="2">
                  <c:v>EfficientNetV2B3</c:v>
                </c:pt>
                <c:pt idx="3">
                  <c:v>DenseNet121</c:v>
                </c:pt>
                <c:pt idx="4">
                  <c:v>EfficientNetV2B0</c:v>
                </c:pt>
                <c:pt idx="5">
                  <c:v>ResNet50V2</c:v>
                </c:pt>
              </c:strCache>
            </c:strRef>
          </c:cat>
          <c:val>
            <c:numRef>
              <c:f>'Comparação de Modelos'!$E$4:$E$9</c:f>
              <c:numCache>
                <c:formatCode>0.0000</c:formatCode>
                <c:ptCount val="6"/>
                <c:pt idx="0">
                  <c:v>0.97506131227955861</c:v>
                </c:pt>
                <c:pt idx="1">
                  <c:v>0.97033820799808868</c:v>
                </c:pt>
                <c:pt idx="2">
                  <c:v>0.98216362818972325</c:v>
                </c:pt>
                <c:pt idx="3">
                  <c:v>0.96992324824472931</c:v>
                </c:pt>
                <c:pt idx="4">
                  <c:v>0.98225456204086581</c:v>
                </c:pt>
                <c:pt idx="5">
                  <c:v>0.93912382709307685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20-4DE7-A8AF-13F807F9531D}"/>
            </c:ext>
          </c:extLst>
        </c:ser>
        <c:ser>
          <c:idx val="2"/>
          <c:order val="2"/>
          <c:tx>
            <c:strRef>
              <c:f>'Comparação de Modelos'!$F$3</c:f>
              <c:strCache>
                <c:ptCount val="1"/>
                <c:pt idx="0">
                  <c:v>Recall (Macro Avg)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'Comparação de Modelos'!$C$4:$C$9</c:f>
              <c:strCache>
                <c:ptCount val="6"/>
                <c:pt idx="0">
                  <c:v>MobileNetV3Large</c:v>
                </c:pt>
                <c:pt idx="1">
                  <c:v>MobileNetV3Small</c:v>
                </c:pt>
                <c:pt idx="2">
                  <c:v>EfficientNetV2B3</c:v>
                </c:pt>
                <c:pt idx="3">
                  <c:v>DenseNet121</c:v>
                </c:pt>
                <c:pt idx="4">
                  <c:v>EfficientNetV2B0</c:v>
                </c:pt>
                <c:pt idx="5">
                  <c:v>ResNet50V2</c:v>
                </c:pt>
              </c:strCache>
            </c:strRef>
          </c:cat>
          <c:val>
            <c:numRef>
              <c:f>'Comparação de Modelos'!$F$4:$F$9</c:f>
              <c:numCache>
                <c:formatCode>0.0000</c:formatCode>
                <c:ptCount val="6"/>
                <c:pt idx="0">
                  <c:v>0.97356497246705642</c:v>
                </c:pt>
                <c:pt idx="1">
                  <c:v>0.97046499022164667</c:v>
                </c:pt>
                <c:pt idx="2">
                  <c:v>0.98065587371266683</c:v>
                </c:pt>
                <c:pt idx="3">
                  <c:v>0.96974465387112763</c:v>
                </c:pt>
                <c:pt idx="4">
                  <c:v>0.98132848476120116</c:v>
                </c:pt>
                <c:pt idx="5">
                  <c:v>0.93522548478357392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D20-4DE7-A8AF-13F807F9531D}"/>
            </c:ext>
          </c:extLst>
        </c:ser>
        <c:ser>
          <c:idx val="3"/>
          <c:order val="3"/>
          <c:tx>
            <c:strRef>
              <c:f>'Comparação de Modelos'!$G$3</c:f>
              <c:strCache>
                <c:ptCount val="1"/>
                <c:pt idx="0">
                  <c:v>F1-Score (Macro Avg)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'Comparação de Modelos'!$C$4:$C$9</c:f>
              <c:strCache>
                <c:ptCount val="6"/>
                <c:pt idx="0">
                  <c:v>MobileNetV3Large</c:v>
                </c:pt>
                <c:pt idx="1">
                  <c:v>MobileNetV3Small</c:v>
                </c:pt>
                <c:pt idx="2">
                  <c:v>EfficientNetV2B3</c:v>
                </c:pt>
                <c:pt idx="3">
                  <c:v>DenseNet121</c:v>
                </c:pt>
                <c:pt idx="4">
                  <c:v>EfficientNetV2B0</c:v>
                </c:pt>
                <c:pt idx="5">
                  <c:v>ResNet50V2</c:v>
                </c:pt>
              </c:strCache>
            </c:strRef>
          </c:cat>
          <c:val>
            <c:numRef>
              <c:f>'Comparação de Modelos'!$G$4:$G$9</c:f>
              <c:numCache>
                <c:formatCode>0.0000</c:formatCode>
                <c:ptCount val="6"/>
                <c:pt idx="0">
                  <c:v>0.97423869936284146</c:v>
                </c:pt>
                <c:pt idx="1">
                  <c:v>0.97035232329688303</c:v>
                </c:pt>
                <c:pt idx="2">
                  <c:v>0.98134813272746391</c:v>
                </c:pt>
                <c:pt idx="3">
                  <c:v>0.96975912502650419</c:v>
                </c:pt>
                <c:pt idx="4">
                  <c:v>0.98175130098541907</c:v>
                </c:pt>
                <c:pt idx="5">
                  <c:v>0.93699038639945653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D20-4DE7-A8AF-13F807F953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33217007"/>
        <c:axId val="915521327"/>
      </c:barChart>
      <c:catAx>
        <c:axId val="1033217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5521327"/>
        <c:crosses val="autoZero"/>
        <c:auto val="1"/>
        <c:lblAlgn val="ctr"/>
        <c:lblOffset val="100"/>
        <c:noMultiLvlLbl val="0"/>
      </c:catAx>
      <c:valAx>
        <c:axId val="915521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10332170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597945</xdr:colOff>
      <xdr:row>16</xdr:row>
      <xdr:rowOff>54460</xdr:rowOff>
    </xdr:from>
    <xdr:to>
      <xdr:col>9</xdr:col>
      <xdr:colOff>41685</xdr:colOff>
      <xdr:row>40</xdr:row>
      <xdr:rowOff>145676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E1A5043-F2CD-DD9B-CCA2-BB585073A9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uilherme\Desktop\6&#186;%20Semestre\TCC\results\evaluation_v3\excel\resultados_experimentos.xlsx" TargetMode="External"/><Relationship Id="rId1" Type="http://schemas.openxmlformats.org/officeDocument/2006/relationships/externalLinkPath" Target="resultados_experiment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LDS"/>
      <sheetName val="MEDIA_FOLD"/>
      <sheetName val="CONFIGURACAO"/>
    </sheetNames>
    <sheetDataSet>
      <sheetData sheetId="0" refreshError="1"/>
      <sheetData sheetId="1">
        <row r="2">
          <cell r="A2" t="str">
            <v>MobileNetV3Large</v>
          </cell>
          <cell r="B2">
            <v>0.97984581497797352</v>
          </cell>
          <cell r="C2">
            <v>2.2146561180826181E-3</v>
          </cell>
          <cell r="D2">
            <v>0.97506131227955861</v>
          </cell>
          <cell r="F2">
            <v>0.97356497246705642</v>
          </cell>
          <cell r="H2">
            <v>0.97423869936284146</v>
          </cell>
          <cell r="I2">
            <v>2.8661773392239498E-3</v>
          </cell>
        </row>
        <row r="3">
          <cell r="A3" t="str">
            <v>MobileNetV3Small</v>
          </cell>
          <cell r="B3">
            <v>0.97797356828193838</v>
          </cell>
          <cell r="C3">
            <v>8.7067116194064866E-4</v>
          </cell>
          <cell r="D3">
            <v>0.97033820799808868</v>
          </cell>
          <cell r="F3">
            <v>0.97046499022164667</v>
          </cell>
          <cell r="H3">
            <v>0.97035232329688303</v>
          </cell>
          <cell r="I3">
            <v>1.5526161478284621E-3</v>
          </cell>
        </row>
        <row r="4">
          <cell r="A4" t="str">
            <v>EfficientNetV2B3</v>
          </cell>
          <cell r="B4">
            <v>0.98573788546255492</v>
          </cell>
          <cell r="C4">
            <v>2.0456140551769562E-3</v>
          </cell>
          <cell r="D4">
            <v>0.98216362818972325</v>
          </cell>
          <cell r="F4">
            <v>0.98065587371266683</v>
          </cell>
          <cell r="H4">
            <v>0.98134813272746391</v>
          </cell>
          <cell r="I4">
            <v>3.1521990742292639E-3</v>
          </cell>
        </row>
        <row r="5">
          <cell r="A5" t="str">
            <v>DenseNet121</v>
          </cell>
          <cell r="B5">
            <v>0.97604625550660806</v>
          </cell>
          <cell r="C5">
            <v>2.3684816263883808E-3</v>
          </cell>
          <cell r="D5">
            <v>0.96992324824472931</v>
          </cell>
          <cell r="F5">
            <v>0.96974465387112763</v>
          </cell>
          <cell r="H5">
            <v>0.96975912502650419</v>
          </cell>
          <cell r="I5">
            <v>3.5569903041252939E-3</v>
          </cell>
        </row>
        <row r="6">
          <cell r="A6" t="str">
            <v>EfficientNetV2B0</v>
          </cell>
          <cell r="B6">
            <v>0.98579295154185009</v>
          </cell>
          <cell r="C6">
            <v>2.31670528281526E-3</v>
          </cell>
          <cell r="D6">
            <v>0.98225456204086581</v>
          </cell>
          <cell r="F6">
            <v>0.98132848476120116</v>
          </cell>
          <cell r="H6">
            <v>0.98175130098541907</v>
          </cell>
          <cell r="I6">
            <v>2.8772932512907438E-3</v>
          </cell>
        </row>
        <row r="7">
          <cell r="A7" t="str">
            <v>ResNet50V2</v>
          </cell>
          <cell r="B7">
            <v>0.95280837004405294</v>
          </cell>
          <cell r="C7">
            <v>3.0819791451444341E-3</v>
          </cell>
          <cell r="D7">
            <v>0.93912382709307685</v>
          </cell>
          <cell r="F7">
            <v>0.93522548478357392</v>
          </cell>
          <cell r="H7">
            <v>0.93699038639945653</v>
          </cell>
          <cell r="I7">
            <v>4.4758047709830152E-3</v>
          </cell>
        </row>
      </sheetData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D4892B-38C2-46BF-B65A-7B1CBB8BB7C3}" name="Tabela1" displayName="Tabela1" ref="C3:I9" totalsRowShown="0" headerRowDxfId="8" dataDxfId="7">
  <autoFilter ref="C3:I9" xr:uid="{ECD4892B-38C2-46BF-B65A-7B1CBB8BB7C3}"/>
  <tableColumns count="7">
    <tableColumn id="1" xr3:uid="{1F68EB1E-1D37-4556-8033-DA1AF235CD55}" name="Model" dataDxfId="6">
      <calculatedColumnFormula>[1]MEDIA_FOLD!A2</calculatedColumnFormula>
    </tableColumn>
    <tableColumn id="20" xr3:uid="{ABC9E850-E400-4BA6-9404-EF2A36410D2E}" name="Accuracy" dataDxfId="5">
      <calculatedColumnFormula>[1]MEDIA_FOLD!B2</calculatedColumnFormula>
    </tableColumn>
    <tableColumn id="19" xr3:uid="{26C8949D-71D0-4E9D-9676-7348C26EC062}" name="Precision (Macro Avg)" dataDxfId="4">
      <calculatedColumnFormula>[1]MEDIA_FOLD!D2</calculatedColumnFormula>
    </tableColumn>
    <tableColumn id="18" xr3:uid="{AA5397E3-CD8C-4C66-9D17-53247A8FC39E}" name="Recall (Macro Avg)" dataDxfId="3">
      <calculatedColumnFormula>[1]MEDIA_FOLD!F2</calculatedColumnFormula>
    </tableColumn>
    <tableColumn id="17" xr3:uid="{1D199753-E081-4FA1-B186-881131937094}" name="F1-Score (Macro Avg)" dataDxfId="2">
      <calculatedColumnFormula>[1]MEDIA_FOLD!H2</calculatedColumnFormula>
    </tableColumn>
    <tableColumn id="2" xr3:uid="{5EBB0357-ECA6-4128-8D59-FA86E8016AAD}" name="Accuracy (mean ± std)" dataDxfId="1">
      <calculatedColumnFormula>TEXT([1]MEDIA_FOLD!B2, "0,0000") &amp; " ± " &amp; TEXT([1]MEDIA_FOLD!C2, "0,0000")</calculatedColumnFormula>
    </tableColumn>
    <tableColumn id="3" xr3:uid="{B358297F-18F5-428D-BE67-539F783D331C}" name="F1-Score (mean ± std)" dataDxfId="0">
      <calculatedColumnFormula>TEXT([1]MEDIA_FOLD!H2, "0,0000") &amp; " ± " &amp; TEXT([1]MEDIA_FOLD!I2, "0,0000")</calculatedColumnFormula>
    </tableColumn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ermelho Laranja">
      <a:dk1>
        <a:sysClr val="windowText" lastClr="000000"/>
      </a:dk1>
      <a:lt1>
        <a:sysClr val="window" lastClr="FFFFFF"/>
      </a:lt1>
      <a:dk2>
        <a:srgbClr val="696464"/>
      </a:dk2>
      <a:lt2>
        <a:srgbClr val="E9E5DC"/>
      </a:lt2>
      <a:accent1>
        <a:srgbClr val="D34817"/>
      </a:accent1>
      <a:accent2>
        <a:srgbClr val="9B2D1F"/>
      </a:accent2>
      <a:accent3>
        <a:srgbClr val="A28E6A"/>
      </a:accent3>
      <a:accent4>
        <a:srgbClr val="956251"/>
      </a:accent4>
      <a:accent5>
        <a:srgbClr val="918485"/>
      </a:accent5>
      <a:accent6>
        <a:srgbClr val="855D5D"/>
      </a:accent6>
      <a:hlink>
        <a:srgbClr val="CC9900"/>
      </a:hlink>
      <a:folHlink>
        <a:srgbClr val="96A9A9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3:I9"/>
  <sheetViews>
    <sheetView showGridLines="0" tabSelected="1" zoomScale="85" zoomScaleNormal="85" workbookViewId="0">
      <selection activeCell="M17" sqref="M17"/>
    </sheetView>
  </sheetViews>
  <sheetFormatPr defaultRowHeight="15" x14ac:dyDescent="0.25"/>
  <cols>
    <col min="3" max="4" width="22.7109375" customWidth="1"/>
    <col min="5" max="5" width="34" customWidth="1"/>
    <col min="6" max="6" width="30.28515625" customWidth="1"/>
    <col min="7" max="7" width="34.7109375" customWidth="1"/>
    <col min="8" max="9" width="36.85546875" customWidth="1"/>
  </cols>
  <sheetData>
    <row r="3" spans="3:9" ht="21.6" customHeight="1" x14ac:dyDescent="0.25">
      <c r="C3" s="3" t="s">
        <v>0</v>
      </c>
      <c r="D3" s="3" t="s">
        <v>1</v>
      </c>
      <c r="E3" s="3" t="s">
        <v>3</v>
      </c>
      <c r="F3" s="3" t="s">
        <v>4</v>
      </c>
      <c r="G3" s="3" t="s">
        <v>5</v>
      </c>
      <c r="H3" s="3" t="s">
        <v>2</v>
      </c>
      <c r="I3" s="3" t="s">
        <v>6</v>
      </c>
    </row>
    <row r="4" spans="3:9" ht="21.6" customHeight="1" x14ac:dyDescent="0.25">
      <c r="C4" s="1" t="str">
        <f>[1]MEDIA_FOLD!A2</f>
        <v>MobileNetV3Large</v>
      </c>
      <c r="D4" s="2">
        <f>[1]MEDIA_FOLD!B2</f>
        <v>0.97984581497797352</v>
      </c>
      <c r="E4" s="2">
        <f>[1]MEDIA_FOLD!D2</f>
        <v>0.97506131227955861</v>
      </c>
      <c r="F4" s="2">
        <f>[1]MEDIA_FOLD!F2</f>
        <v>0.97356497246705642</v>
      </c>
      <c r="G4" s="2">
        <f>[1]MEDIA_FOLD!H2</f>
        <v>0.97423869936284146</v>
      </c>
      <c r="H4" s="1" t="str">
        <f>TEXT([1]MEDIA_FOLD!B2, "0,0000") &amp; " ± " &amp; TEXT([1]MEDIA_FOLD!C2, "0,0000")</f>
        <v>0,9798 ± 0,0022</v>
      </c>
      <c r="I4" s="1" t="str">
        <f>TEXT([1]MEDIA_FOLD!H2, "0,0000") &amp; " ± " &amp; TEXT([1]MEDIA_FOLD!I2, "0,0000")</f>
        <v>0,9742 ± 0,0029</v>
      </c>
    </row>
    <row r="5" spans="3:9" ht="21.6" customHeight="1" x14ac:dyDescent="0.25">
      <c r="C5" s="1" t="str">
        <f>[1]MEDIA_FOLD!A3</f>
        <v>MobileNetV3Small</v>
      </c>
      <c r="D5" s="2">
        <f>[1]MEDIA_FOLD!B3</f>
        <v>0.97797356828193838</v>
      </c>
      <c r="E5" s="2">
        <f>[1]MEDIA_FOLD!D3</f>
        <v>0.97033820799808868</v>
      </c>
      <c r="F5" s="2">
        <f>[1]MEDIA_FOLD!F3</f>
        <v>0.97046499022164667</v>
      </c>
      <c r="G5" s="2">
        <f>[1]MEDIA_FOLD!H3</f>
        <v>0.97035232329688303</v>
      </c>
      <c r="H5" s="1" t="str">
        <f>TEXT([1]MEDIA_FOLD!B3, "0,0000") &amp; " ± " &amp; TEXT([1]MEDIA_FOLD!C3, "0,0000")</f>
        <v>0,9780 ± 0,0009</v>
      </c>
      <c r="I5" s="1" t="str">
        <f>TEXT([1]MEDIA_FOLD!H3, "0,0000") &amp; " ± " &amp; TEXT([1]MEDIA_FOLD!I3, "0,0000")</f>
        <v>0,9704 ± 0,0016</v>
      </c>
    </row>
    <row r="6" spans="3:9" ht="21.6" customHeight="1" x14ac:dyDescent="0.25">
      <c r="C6" s="1" t="str">
        <f>[1]MEDIA_FOLD!A4</f>
        <v>EfficientNetV2B3</v>
      </c>
      <c r="D6" s="2">
        <f>[1]MEDIA_FOLD!B4</f>
        <v>0.98573788546255492</v>
      </c>
      <c r="E6" s="2">
        <f>[1]MEDIA_FOLD!D4</f>
        <v>0.98216362818972325</v>
      </c>
      <c r="F6" s="2">
        <f>[1]MEDIA_FOLD!F4</f>
        <v>0.98065587371266683</v>
      </c>
      <c r="G6" s="2">
        <f>[1]MEDIA_FOLD!H4</f>
        <v>0.98134813272746391</v>
      </c>
      <c r="H6" s="1" t="str">
        <f>TEXT([1]MEDIA_FOLD!B4, "0,0000") &amp; " ± " &amp; TEXT([1]MEDIA_FOLD!C4, "0,0000")</f>
        <v>0,9857 ± 0,0020</v>
      </c>
      <c r="I6" s="1" t="str">
        <f>TEXT([1]MEDIA_FOLD!H4, "0,0000") &amp; " ± " &amp; TEXT([1]MEDIA_FOLD!I4, "0,0000")</f>
        <v>0,9813 ± 0,0032</v>
      </c>
    </row>
    <row r="7" spans="3:9" ht="21.6" customHeight="1" x14ac:dyDescent="0.25">
      <c r="C7" s="1" t="str">
        <f>[1]MEDIA_FOLD!A5</f>
        <v>DenseNet121</v>
      </c>
      <c r="D7" s="2">
        <f>[1]MEDIA_FOLD!B5</f>
        <v>0.97604625550660806</v>
      </c>
      <c r="E7" s="2">
        <f>[1]MEDIA_FOLD!D5</f>
        <v>0.96992324824472931</v>
      </c>
      <c r="F7" s="2">
        <f>[1]MEDIA_FOLD!F5</f>
        <v>0.96974465387112763</v>
      </c>
      <c r="G7" s="2">
        <f>[1]MEDIA_FOLD!H5</f>
        <v>0.96975912502650419</v>
      </c>
      <c r="H7" s="1" t="str">
        <f>TEXT([1]MEDIA_FOLD!B5, "0,0000") &amp; " ± " &amp; TEXT([1]MEDIA_FOLD!C5, "0,0000")</f>
        <v>0,9760 ± 0,0024</v>
      </c>
      <c r="I7" s="1" t="str">
        <f>TEXT([1]MEDIA_FOLD!H5, "0,0000") &amp; " ± " &amp; TEXT([1]MEDIA_FOLD!I5, "0,0000")</f>
        <v>0,9698 ± 0,0036</v>
      </c>
    </row>
    <row r="8" spans="3:9" ht="21.6" customHeight="1" x14ac:dyDescent="0.25">
      <c r="C8" s="1" t="str">
        <f>[1]MEDIA_FOLD!A6</f>
        <v>EfficientNetV2B0</v>
      </c>
      <c r="D8" s="2">
        <f>[1]MEDIA_FOLD!B6</f>
        <v>0.98579295154185009</v>
      </c>
      <c r="E8" s="2">
        <f>[1]MEDIA_FOLD!D6</f>
        <v>0.98225456204086581</v>
      </c>
      <c r="F8" s="2">
        <f>[1]MEDIA_FOLD!F6</f>
        <v>0.98132848476120116</v>
      </c>
      <c r="G8" s="2">
        <f>[1]MEDIA_FOLD!H6</f>
        <v>0.98175130098541907</v>
      </c>
      <c r="H8" s="1" t="str">
        <f>TEXT([1]MEDIA_FOLD!B6, "0,0000") &amp; " ± " &amp; TEXT([1]MEDIA_FOLD!C6, "0,0000")</f>
        <v>0,9858 ± 0,0023</v>
      </c>
      <c r="I8" s="1" t="str">
        <f>TEXT([1]MEDIA_FOLD!H6, "0,0000") &amp; " ± " &amp; TEXT([1]MEDIA_FOLD!I6, "0,0000")</f>
        <v>0,9818 ± 0,0029</v>
      </c>
    </row>
    <row r="9" spans="3:9" ht="21.6" customHeight="1" x14ac:dyDescent="0.25">
      <c r="C9" s="1" t="str">
        <f>[1]MEDIA_FOLD!A7</f>
        <v>ResNet50V2</v>
      </c>
      <c r="D9" s="2">
        <f>[1]MEDIA_FOLD!B7</f>
        <v>0.95280837004405294</v>
      </c>
      <c r="E9" s="2">
        <f>[1]MEDIA_FOLD!D7</f>
        <v>0.93912382709307685</v>
      </c>
      <c r="F9" s="2">
        <f>[1]MEDIA_FOLD!F7</f>
        <v>0.93522548478357392</v>
      </c>
      <c r="G9" s="2">
        <f>[1]MEDIA_FOLD!H7</f>
        <v>0.93699038639945653</v>
      </c>
      <c r="H9" s="4" t="str">
        <f>TEXT([1]MEDIA_FOLD!B7, "0,0000") &amp; " ± " &amp; TEXT([1]MEDIA_FOLD!C7, "0,0000")</f>
        <v>0,9528 ± 0,0031</v>
      </c>
      <c r="I9" s="1" t="str">
        <f>TEXT([1]MEDIA_FOLD!H7, "0,0000") &amp; " ± " &amp; TEXT([1]MEDIA_FOLD!I7, "0,0000")</f>
        <v>0,9370 ± 0,0045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Comparação de Modelos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Guilherme Ferreira</dc:creator>
  <cp:lastModifiedBy>Guilherme Dias</cp:lastModifiedBy>
  <dcterms:created xsi:type="dcterms:W3CDTF">2015-06-05T18:19:34Z</dcterms:created>
  <dcterms:modified xsi:type="dcterms:W3CDTF">2026-09-22T19:41:38Z</dcterms:modified>
</cp:coreProperties>
</file>